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lsuka/Desktop/Bali et al 2012 model/"/>
    </mc:Choice>
  </mc:AlternateContent>
  <xr:revisionPtr revIDLastSave="0" documentId="13_ncr:1_{A23D2C50-DF88-D84F-923B-94B73C492F0D}" xr6:coauthVersionLast="47" xr6:coauthVersionMax="47" xr10:uidLastSave="{00000000-0000-0000-0000-000000000000}"/>
  <bookViews>
    <workbookView xWindow="2060" yWindow="560" windowWidth="23520" windowHeight="15920" xr2:uid="{D097D85E-D158-AB4A-89CA-0A7276D66D5A}"/>
  </bookViews>
  <sheets>
    <sheet name="Calculations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M3" i="2"/>
  <c r="O3" i="2"/>
  <c r="E7" i="2" l="1"/>
  <c r="L5" i="2" s="1"/>
  <c r="C17" i="2"/>
  <c r="C4" i="2" s="1"/>
  <c r="N4" i="2"/>
  <c r="H19" i="2"/>
  <c r="E4" i="2"/>
  <c r="M6" i="2" l="1"/>
  <c r="N22" i="2"/>
  <c r="K6" i="2"/>
  <c r="H20" i="2"/>
  <c r="H18" i="2"/>
  <c r="H17" i="2"/>
  <c r="H16" i="2"/>
  <c r="O4" i="2"/>
  <c r="N7" i="2"/>
  <c r="N8" i="2"/>
  <c r="N9" i="2"/>
  <c r="O9" i="2" s="1"/>
  <c r="C22" i="2"/>
  <c r="C23" i="2"/>
  <c r="C7" i="2" s="1"/>
  <c r="K3" i="2" s="1"/>
  <c r="C18" i="2"/>
  <c r="C19" i="2"/>
  <c r="C20" i="2"/>
  <c r="C21" i="2"/>
  <c r="C13" i="2"/>
  <c r="B7" i="2"/>
  <c r="K5" i="2" s="1"/>
  <c r="N5" i="2" s="1"/>
  <c r="O5" i="2" s="1"/>
  <c r="K13" i="2" l="1"/>
  <c r="O7" i="2"/>
  <c r="L3" i="2"/>
  <c r="M32" i="2"/>
  <c r="M29" i="2"/>
  <c r="M26" i="2"/>
  <c r="M34" i="2"/>
  <c r="M31" i="2"/>
  <c r="M24" i="2"/>
  <c r="M28" i="2"/>
  <c r="M25" i="2"/>
  <c r="M33" i="2"/>
  <c r="M30" i="2"/>
  <c r="M27" i="2"/>
  <c r="H28" i="2"/>
  <c r="H25" i="2"/>
  <c r="H33" i="2"/>
  <c r="H27" i="2"/>
  <c r="H32" i="2"/>
  <c r="H29" i="2"/>
  <c r="H26" i="2"/>
  <c r="H34" i="2"/>
  <c r="H31" i="2"/>
  <c r="H24" i="2"/>
  <c r="H30" i="2"/>
  <c r="I31" i="2"/>
  <c r="I28" i="2"/>
  <c r="I25" i="2"/>
  <c r="I33" i="2"/>
  <c r="I30" i="2"/>
  <c r="I27" i="2"/>
  <c r="I32" i="2"/>
  <c r="I29" i="2"/>
  <c r="I24" i="2"/>
  <c r="I26" i="2"/>
  <c r="I34" i="2"/>
  <c r="T3" i="2"/>
  <c r="U3" i="2" s="1"/>
  <c r="V3" i="2" s="1"/>
  <c r="L13" i="2"/>
  <c r="O8" i="2"/>
  <c r="H13" i="2"/>
  <c r="M13" i="2"/>
  <c r="L6" i="2"/>
  <c r="N3" i="2" l="1"/>
  <c r="K26" i="2"/>
  <c r="K34" i="2"/>
  <c r="K31" i="2"/>
  <c r="K28" i="2"/>
  <c r="K25" i="2"/>
  <c r="K33" i="2"/>
  <c r="K30" i="2"/>
  <c r="K27" i="2"/>
  <c r="K24" i="2"/>
  <c r="K32" i="2"/>
  <c r="K29" i="2"/>
  <c r="L29" i="2"/>
  <c r="R29" i="2" s="1"/>
  <c r="L26" i="2"/>
  <c r="R26" i="2" s="1"/>
  <c r="L34" i="2"/>
  <c r="R34" i="2" s="1"/>
  <c r="L31" i="2"/>
  <c r="R31" i="2" s="1"/>
  <c r="L28" i="2"/>
  <c r="R28" i="2" s="1"/>
  <c r="L25" i="2"/>
  <c r="R25" i="2" s="1"/>
  <c r="L33" i="2"/>
  <c r="L24" i="2"/>
  <c r="R24" i="2" s="1"/>
  <c r="L30" i="2"/>
  <c r="R30" i="2" s="1"/>
  <c r="L27" i="2"/>
  <c r="R27" i="2" s="1"/>
  <c r="L32" i="2"/>
  <c r="R32" i="2" s="1"/>
  <c r="R33" i="2"/>
  <c r="I20" i="2"/>
  <c r="I13" i="2"/>
  <c r="N6" i="2"/>
  <c r="G24" i="2" l="1"/>
  <c r="G13" i="2"/>
  <c r="P26" i="2"/>
  <c r="J13" i="2"/>
  <c r="O6" i="2"/>
  <c r="G29" i="2" l="1"/>
  <c r="G28" i="2"/>
  <c r="G27" i="2"/>
  <c r="G25" i="2"/>
  <c r="G34" i="2"/>
  <c r="I16" i="2"/>
  <c r="G32" i="2"/>
  <c r="G31" i="2"/>
  <c r="G30" i="2"/>
  <c r="G26" i="2"/>
  <c r="G33" i="2"/>
  <c r="J29" i="2"/>
  <c r="O29" i="2" s="1"/>
  <c r="J28" i="2"/>
  <c r="O28" i="2" s="1"/>
  <c r="J25" i="2"/>
  <c r="O25" i="2" s="1"/>
  <c r="J32" i="2"/>
  <c r="O32" i="2" s="1"/>
  <c r="J31" i="2"/>
  <c r="O31" i="2" s="1"/>
  <c r="J30" i="2"/>
  <c r="O30" i="2" s="1"/>
  <c r="J27" i="2"/>
  <c r="O27" i="2" s="1"/>
  <c r="J26" i="2"/>
  <c r="O26" i="2" s="1"/>
  <c r="J34" i="2"/>
  <c r="O34" i="2" s="1"/>
  <c r="J33" i="2"/>
  <c r="O33" i="2" s="1"/>
  <c r="I17" i="2"/>
  <c r="J24" i="2"/>
  <c r="O24" i="2" s="1"/>
  <c r="P28" i="2"/>
  <c r="P30" i="2"/>
  <c r="P33" i="2"/>
  <c r="P24" i="2"/>
  <c r="P25" i="2"/>
  <c r="P32" i="2"/>
  <c r="P31" i="2"/>
  <c r="P27" i="2"/>
  <c r="P29" i="2"/>
  <c r="P34" i="2"/>
  <c r="I18" i="2"/>
  <c r="I19" i="2"/>
  <c r="N32" i="2" l="1"/>
  <c r="Q33" i="2"/>
  <c r="N25" i="2"/>
  <c r="N29" i="2"/>
  <c r="Q34" i="2"/>
  <c r="Q26" i="2"/>
  <c r="N27" i="2"/>
  <c r="N31" i="2"/>
  <c r="Q24" i="2"/>
  <c r="N24" i="2"/>
  <c r="Q30" i="2"/>
  <c r="N30" i="2"/>
  <c r="Q28" i="2"/>
  <c r="N28" i="2"/>
  <c r="Q32" i="2" l="1"/>
  <c r="N33" i="2"/>
  <c r="Q29" i="2"/>
  <c r="Q25" i="2"/>
  <c r="N34" i="2"/>
  <c r="N26" i="2"/>
  <c r="Q31" i="2"/>
  <c r="Q27" i="2"/>
</calcChain>
</file>

<file path=xl/sharedStrings.xml><?xml version="1.0" encoding="utf-8"?>
<sst xmlns="http://schemas.openxmlformats.org/spreadsheetml/2006/main" count="100" uniqueCount="64">
  <si>
    <t>Mo</t>
  </si>
  <si>
    <t>Ce</t>
  </si>
  <si>
    <t>W</t>
  </si>
  <si>
    <t>U</t>
  </si>
  <si>
    <t>Th</t>
  </si>
  <si>
    <t>Nb</t>
  </si>
  <si>
    <t>La</t>
  </si>
  <si>
    <t>N-MORB</t>
  </si>
  <si>
    <t>Temperature (°C)</t>
  </si>
  <si>
    <t>T (K)</t>
  </si>
  <si>
    <t>NaCl (mol/kg)</t>
  </si>
  <si>
    <t>log₁₀[NaCl]</t>
  </si>
  <si>
    <t>ΔFMQ (log units)</t>
  </si>
  <si>
    <t>Rutile modal fraction</t>
  </si>
  <si>
    <t xml:space="preserve">INPUT </t>
  </si>
  <si>
    <t>N-MORB Eclogite</t>
  </si>
  <si>
    <t>gt</t>
  </si>
  <si>
    <t>Cpx</t>
  </si>
  <si>
    <t>Rt</t>
  </si>
  <si>
    <t>Dm</t>
  </si>
  <si>
    <t>SubdSed</t>
  </si>
  <si>
    <r>
      <t>D</t>
    </r>
    <r>
      <rPr>
        <b/>
        <vertAlign val="subscript"/>
        <sz val="12"/>
        <color theme="1"/>
        <rFont val="Aptos Narrow (Body)"/>
      </rPr>
      <t>cpx/fluid</t>
    </r>
  </si>
  <si>
    <r>
      <t>D</t>
    </r>
    <r>
      <rPr>
        <b/>
        <vertAlign val="subscript"/>
        <sz val="12"/>
        <color theme="1"/>
        <rFont val="Aptos Narrow (Body)"/>
      </rPr>
      <t>grt/fluid</t>
    </r>
  </si>
  <si>
    <r>
      <t>D</t>
    </r>
    <r>
      <rPr>
        <b/>
        <vertAlign val="subscript"/>
        <sz val="12"/>
        <color theme="1"/>
        <rFont val="Aptos Narrow (Body)"/>
      </rPr>
      <t>rutile/fluid</t>
    </r>
  </si>
  <si>
    <t>wt.%</t>
  </si>
  <si>
    <t>modal fraction</t>
  </si>
  <si>
    <t>Reservoir composition</t>
  </si>
  <si>
    <t>Batch equilibrium fluid release</t>
  </si>
  <si>
    <t>f</t>
  </si>
  <si>
    <t>Mineral Partition coefficient</t>
  </si>
  <si>
    <t>Bulk partition coefficient</t>
  </si>
  <si>
    <r>
      <t>D</t>
    </r>
    <r>
      <rPr>
        <b/>
        <vertAlign val="subscript"/>
        <sz val="12"/>
        <color theme="1"/>
        <rFont val="Aptos Narrow (Body)"/>
      </rPr>
      <t>solid/fluid</t>
    </r>
  </si>
  <si>
    <r>
      <t>C</t>
    </r>
    <r>
      <rPr>
        <b/>
        <vertAlign val="subscript"/>
        <sz val="12"/>
        <color theme="1"/>
        <rFont val="Aptos Narrow (Body)"/>
      </rPr>
      <t>fluid</t>
    </r>
    <r>
      <rPr>
        <b/>
        <sz val="12"/>
        <color theme="1"/>
        <rFont val="Aptos Narrow"/>
        <family val="2"/>
        <scheme val="minor"/>
      </rPr>
      <t xml:space="preserve"> = C</t>
    </r>
    <r>
      <rPr>
        <b/>
        <vertAlign val="subscript"/>
        <sz val="12"/>
        <color theme="1"/>
        <rFont val="Aptos Narrow (Body)"/>
      </rPr>
      <t xml:space="preserve">0 </t>
    </r>
    <r>
      <rPr>
        <b/>
        <sz val="12"/>
        <color theme="1"/>
        <rFont val="Aptos Narrow"/>
        <family val="2"/>
        <scheme val="minor"/>
      </rPr>
      <t>/ (f + (1-f) * D)</t>
    </r>
  </si>
  <si>
    <t>Salinity molality table</t>
  </si>
  <si>
    <t>molality (mol/kg)</t>
  </si>
  <si>
    <r>
      <t>log₁₀ (𝑓O2)</t>
    </r>
    <r>
      <rPr>
        <b/>
        <vertAlign val="subscript"/>
        <sz val="12"/>
        <color theme="1"/>
        <rFont val="Aptos Narrow (Body)"/>
      </rPr>
      <t>FMQ</t>
    </r>
  </si>
  <si>
    <t>Absolute log₁₀ (𝑓O2)</t>
  </si>
  <si>
    <r>
      <t>C</t>
    </r>
    <r>
      <rPr>
        <b/>
        <vertAlign val="subscript"/>
        <sz val="12"/>
        <color theme="1"/>
        <rFont val="Aptos Narrow (Body)"/>
      </rPr>
      <t>fluid</t>
    </r>
  </si>
  <si>
    <t>Fluid Endmember</t>
  </si>
  <si>
    <t>Endmembers ratios</t>
  </si>
  <si>
    <t>DM</t>
  </si>
  <si>
    <t>Fluid N-MORB Eclogite</t>
  </si>
  <si>
    <t>Mo/Ce</t>
  </si>
  <si>
    <t>U/Th</t>
  </si>
  <si>
    <t>W/Th</t>
  </si>
  <si>
    <t>Mo/W</t>
  </si>
  <si>
    <t>Nb/La</t>
  </si>
  <si>
    <t>DM-F N-MORB Eclg.</t>
  </si>
  <si>
    <t>T1000C_NaCl0.00m_ΔFMQ-1.59_Rt0.00</t>
  </si>
  <si>
    <t>LogMo</t>
  </si>
  <si>
    <t>P cte (bar)</t>
  </si>
  <si>
    <t>input</t>
  </si>
  <si>
    <t>P (bar)</t>
  </si>
  <si>
    <t>reCALCULATED INPUT</t>
  </si>
  <si>
    <t>GRT</t>
  </si>
  <si>
    <t>CPX</t>
  </si>
  <si>
    <t>RUT</t>
  </si>
  <si>
    <t>Full table:</t>
  </si>
  <si>
    <t xml:space="preserve"> input  P (bar)  Temperature (°C)  ΔFMQ (log units)   GRT   CPX  RUT    Mo  Ce     W      U     Th    Nb    La  P_bar     T_C    T_K  mode_grt  mode_cpx  mode_rut  C0_Mo_ppm  C0_Ce_ppm  C0_W_ppm  C0_U_ppm  C0_Th_ppm  C0_Nb_ppm  C0_La_ppm rock_id  NaCl_m  apply_mo_cap  F_yield  dFMQ  abs_logfO2</t>
  </si>
  <si>
    <t>N-MORB    26100           1273.15             -1.59 0.285 0.685 0.03 0.408  12 0.038 0.0711 0.1871 3.507 3.895  26100 1273.15 1546.3     0.285     0.685      0.03      0.408         12     0.038    0.0711     0.1871      3.507      3.895  N-MORB     NaN         False      NaN   NaN         NaN</t>
  </si>
  <si>
    <t>N-MORB    26100           1273.15             -1.59 0.300 0.700 0.00 0.408  12 0.038 0.0711 0.1871 3.507 3.895  26100 1273.15 1546.3     0.300     0.700      0.00      0.408         12     0.038    0.0711     0.1871      3.507      3.895  N-MORB     NaN         False      NaN   NaN         NaN</t>
  </si>
  <si>
    <t>N-MORB    26100           1273.15              1.69 0.285 0.685 0.03 0.408  12 0.038 0.0711 0.1871 3.507 3.895  26100 1273.15 1546.3     0.285     0.685      0.03      0.408         12     0.038    0.0711     0.1871      3.507      3.895  N-MORB     NaN         False      NaN   NaN         NaN</t>
  </si>
  <si>
    <t>N-MORB    26100           1273.15              1.69 0.300 0.700 0.00 0.408  12 0.038 0.0711 0.1871 3.507 3.895  26100 1273.15 1546.3     0.300     0.700      0.00      0.408         12     0.038    0.0711     0.1871      3.507      3.895  N-MORB     NaN         False      NaN   NaN         NaN</t>
  </si>
  <si>
    <t xml:space="preserve">(PolEnv) (base) polsuka@Pols-MacBook-Air ~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</si>
</sst>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00000"/>
    <numFmt numFmtId="166" formatCode="0.00000000"/>
    <numFmt numFmtId="167" formatCode="0.0000000"/>
    <numFmt numFmtId="168" formatCode="0.000000"/>
    <numFmt numFmtId="171" formatCode="0.00000000000000000"/>
    <numFmt numFmtId="172" formatCode="0.0000"/>
    <numFmt numFmtId="173" formatCode="0.00000"/>
  </numFmts>
  <fonts count="7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vertAlign val="subscript"/>
      <sz val="12"/>
      <color theme="1"/>
      <name val="Aptos Narrow (Body)"/>
    </font>
    <font>
      <b/>
      <sz val="12"/>
      <name val="Aptos Narrow"/>
      <scheme val="minor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2" fontId="0" fillId="0" borderId="8" xfId="0" applyNumberFormat="1" applyBorder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65" fontId="0" fillId="0" borderId="6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8" fontId="0" fillId="0" borderId="6" xfId="0" applyNumberFormat="1" applyBorder="1" applyAlignment="1">
      <alignment horizontal="center" vertical="center"/>
    </xf>
    <xf numFmtId="168" fontId="0" fillId="0" borderId="9" xfId="0" applyNumberFormat="1" applyBorder="1" applyAlignment="1">
      <alignment horizontal="center" vertical="center"/>
    </xf>
    <xf numFmtId="164" fontId="0" fillId="0" borderId="9" xfId="0" applyNumberFormat="1" applyBorder="1"/>
    <xf numFmtId="0" fontId="5" fillId="0" borderId="2" xfId="0" applyFont="1" applyBorder="1"/>
    <xf numFmtId="0" fontId="5" fillId="0" borderId="5" xfId="0" applyFont="1" applyBorder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6" fillId="0" borderId="9" xfId="0" applyFont="1" applyBorder="1"/>
    <xf numFmtId="0" fontId="5" fillId="0" borderId="4" xfId="0" applyFont="1" applyBorder="1"/>
    <xf numFmtId="165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1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14" xfId="0" applyFont="1" applyBorder="1"/>
    <xf numFmtId="164" fontId="0" fillId="0" borderId="14" xfId="0" applyNumberFormat="1" applyBorder="1"/>
    <xf numFmtId="164" fontId="0" fillId="0" borderId="15" xfId="0" applyNumberFormat="1" applyBorder="1"/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168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9" xfId="0" applyFont="1" applyBorder="1" applyAlignment="1">
      <alignment horizontal="center" vertical="center"/>
    </xf>
    <xf numFmtId="167" fontId="0" fillId="0" borderId="14" xfId="0" applyNumberFormat="1" applyBorder="1"/>
    <xf numFmtId="167" fontId="0" fillId="0" borderId="15" xfId="0" applyNumberFormat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2" fontId="0" fillId="0" borderId="5" xfId="0" applyNumberFormat="1" applyBorder="1"/>
    <xf numFmtId="2" fontId="0" fillId="0" borderId="0" xfId="0" applyNumberFormat="1"/>
    <xf numFmtId="2" fontId="0" fillId="0" borderId="7" xfId="0" applyNumberFormat="1" applyBorder="1"/>
    <xf numFmtId="0" fontId="3" fillId="0" borderId="14" xfId="0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/>
    </xf>
    <xf numFmtId="165" fontId="0" fillId="2" borderId="11" xfId="0" applyNumberForma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/>
    </xf>
    <xf numFmtId="171" fontId="0" fillId="0" borderId="0" xfId="0" applyNumberFormat="1"/>
    <xf numFmtId="0" fontId="0" fillId="0" borderId="13" xfId="0" applyBorder="1"/>
    <xf numFmtId="0" fontId="0" fillId="0" borderId="15" xfId="0" applyBorder="1"/>
    <xf numFmtId="173" fontId="0" fillId="2" borderId="0" xfId="0" applyNumberFormat="1" applyFill="1" applyAlignment="1">
      <alignment vertical="center"/>
    </xf>
    <xf numFmtId="172" fontId="0" fillId="2" borderId="6" xfId="0" applyNumberFormat="1" applyFill="1" applyBorder="1" applyAlignment="1">
      <alignment vertical="center"/>
    </xf>
    <xf numFmtId="173" fontId="0" fillId="0" borderId="14" xfId="0" applyNumberFormat="1" applyBorder="1"/>
    <xf numFmtId="167" fontId="0" fillId="0" borderId="6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168" fontId="0" fillId="2" borderId="0" xfId="0" applyNumberFormat="1" applyFill="1" applyAlignment="1">
      <alignment vertical="center"/>
    </xf>
    <xf numFmtId="167" fontId="0" fillId="2" borderId="0" xfId="0" applyNumberFormat="1" applyFill="1" applyAlignment="1">
      <alignment vertical="center"/>
    </xf>
    <xf numFmtId="167" fontId="0" fillId="2" borderId="6" xfId="0" applyNumberFormat="1" applyFill="1" applyBorder="1" applyAlignment="1">
      <alignment vertical="center"/>
    </xf>
    <xf numFmtId="168" fontId="0" fillId="0" borderId="1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Calculations!$O$24:$O$34</c:f>
              <c:numCache>
                <c:formatCode>0.000000000</c:formatCode>
                <c:ptCount val="11"/>
                <c:pt idx="0">
                  <c:v>0.34306569343065696</c:v>
                </c:pt>
                <c:pt idx="1">
                  <c:v>0.34087272454559808</c:v>
                </c:pt>
                <c:pt idx="2">
                  <c:v>0.33262293427298001</c:v>
                </c:pt>
                <c:pt idx="3">
                  <c:v>0.32335341240825444</c:v>
                </c:pt>
                <c:pt idx="4">
                  <c:v>0.27506405165601233</c:v>
                </c:pt>
                <c:pt idx="5">
                  <c:v>0.24505044043460025</c:v>
                </c:pt>
                <c:pt idx="6">
                  <c:v>0.2097443326507446</c:v>
                </c:pt>
                <c:pt idx="7">
                  <c:v>0.19155207525348567</c:v>
                </c:pt>
                <c:pt idx="8">
                  <c:v>0.18433212196991258</c:v>
                </c:pt>
                <c:pt idx="9">
                  <c:v>0.18177009330708013</c:v>
                </c:pt>
                <c:pt idx="10">
                  <c:v>0.18045781245804338</c:v>
                </c:pt>
              </c:numCache>
            </c:numRef>
          </c:xVal>
          <c:yVal>
            <c:numRef>
              <c:f>Calculations!$N$24:$N$34</c:f>
              <c:numCache>
                <c:formatCode>0.000000000</c:formatCode>
                <c:ptCount val="11"/>
                <c:pt idx="0">
                  <c:v>3.2383419689119175E-2</c:v>
                </c:pt>
                <c:pt idx="1">
                  <c:v>3.2117290362339027E-2</c:v>
                </c:pt>
                <c:pt idx="2">
                  <c:v>3.1099197181139664E-2</c:v>
                </c:pt>
                <c:pt idx="3">
                  <c:v>2.9922305096975663E-2</c:v>
                </c:pt>
                <c:pt idx="4">
                  <c:v>2.3160959165578084E-2</c:v>
                </c:pt>
                <c:pt idx="5">
                  <c:v>1.8337450799212639E-2</c:v>
                </c:pt>
                <c:pt idx="6">
                  <c:v>1.1913900629093959E-2</c:v>
                </c:pt>
                <c:pt idx="7">
                  <c:v>8.2322724121123101E-3</c:v>
                </c:pt>
                <c:pt idx="8">
                  <c:v>6.6919939513552292E-3</c:v>
                </c:pt>
                <c:pt idx="9">
                  <c:v>6.1339600432724897E-3</c:v>
                </c:pt>
                <c:pt idx="10">
                  <c:v>5.8457526427876019E-3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6-304D-86DD-E92F80E5B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342208"/>
        <c:axId val="1117161616"/>
      </c:scatterChart>
      <c:valAx>
        <c:axId val="1117342208"/>
        <c:scaling>
          <c:logBase val="10"/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17161616"/>
        <c:crosses val="autoZero"/>
        <c:crossBetween val="midCat"/>
      </c:valAx>
      <c:valAx>
        <c:axId val="1117161616"/>
        <c:scaling>
          <c:logBase val="10"/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1734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Calculations!$O$24:$O$34</c:f>
              <c:numCache>
                <c:formatCode>0.000000000</c:formatCode>
                <c:ptCount val="11"/>
                <c:pt idx="0">
                  <c:v>0.34306569343065696</c:v>
                </c:pt>
                <c:pt idx="1">
                  <c:v>0.34087272454559808</c:v>
                </c:pt>
                <c:pt idx="2">
                  <c:v>0.33262293427298001</c:v>
                </c:pt>
                <c:pt idx="3">
                  <c:v>0.32335341240825444</c:v>
                </c:pt>
                <c:pt idx="4">
                  <c:v>0.27506405165601233</c:v>
                </c:pt>
                <c:pt idx="5">
                  <c:v>0.24505044043460025</c:v>
                </c:pt>
                <c:pt idx="6">
                  <c:v>0.2097443326507446</c:v>
                </c:pt>
                <c:pt idx="7">
                  <c:v>0.19155207525348567</c:v>
                </c:pt>
                <c:pt idx="8">
                  <c:v>0.18433212196991258</c:v>
                </c:pt>
                <c:pt idx="9">
                  <c:v>0.18177009330708013</c:v>
                </c:pt>
                <c:pt idx="10">
                  <c:v>0.18045781245804338</c:v>
                </c:pt>
              </c:numCache>
            </c:numRef>
          </c:xVal>
          <c:yVal>
            <c:numRef>
              <c:f>Calculations!$Q$24:$Q$34</c:f>
              <c:numCache>
                <c:formatCode>0.000000000</c:formatCode>
                <c:ptCount val="11"/>
                <c:pt idx="0">
                  <c:v>10.416666666666668</c:v>
                </c:pt>
                <c:pt idx="1">
                  <c:v>6.4110600295867073</c:v>
                </c:pt>
                <c:pt idx="2">
                  <c:v>2.5321938228121796</c:v>
                </c:pt>
                <c:pt idx="3">
                  <c:v>1.4463871939926827</c:v>
                </c:pt>
                <c:pt idx="4">
                  <c:v>0.33575682491336661</c:v>
                </c:pt>
                <c:pt idx="5">
                  <c:v>0.1772867582692674</c:v>
                </c:pt>
                <c:pt idx="6">
                  <c:v>7.9790471610435579E-2</c:v>
                </c:pt>
                <c:pt idx="7">
                  <c:v>4.6877804484642224E-2</c:v>
                </c:pt>
                <c:pt idx="8">
                  <c:v>3.5860290801944653E-2</c:v>
                </c:pt>
                <c:pt idx="9">
                  <c:v>3.21825818658351E-2</c:v>
                </c:pt>
                <c:pt idx="10">
                  <c:v>3.0342750021442724E-2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31-7843-9339-8FA79D77C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342208"/>
        <c:axId val="1117161616"/>
      </c:scatterChart>
      <c:valAx>
        <c:axId val="1117342208"/>
        <c:scaling>
          <c:logBase val="10"/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17161616"/>
        <c:crosses val="autoZero"/>
        <c:crossBetween val="midCat"/>
      </c:valAx>
      <c:valAx>
        <c:axId val="1117161616"/>
        <c:scaling>
          <c:logBase val="10"/>
          <c:orientation val="minMax"/>
          <c:max val="100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17342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1060450</xdr:colOff>
      <xdr:row>5</xdr:row>
      <xdr:rowOff>44450</xdr:rowOff>
    </xdr:from>
    <xdr:to>
      <xdr:col>19</xdr:col>
      <xdr:colOff>203200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167040-A965-5FBD-3D68-01BDFAE34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266700</xdr:colOff>
      <xdr:row>5</xdr:row>
      <xdr:rowOff>63500</xdr:rowOff>
    </xdr:from>
    <xdr:to>
      <xdr:col>23</xdr:col>
      <xdr:colOff>552450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A0DF0D-9667-C047-98B0-9CD232D37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74DB-1694-BB46-B8E7-2D2F078D9667}">
  <dimension ref="A1:Y55"/>
  <sheetViews>
    <sheetView tabSelected="1" topLeftCell="E1" zoomScaleNormal="100" workbookViewId="0">
      <selection activeCell="F24" sqref="F24:F34"/>
    </sheetView>
  </sheetViews>
  <sheetFormatPr baseColWidth="10" defaultRowHeight="16"/>
  <cols>
    <col min="1" max="1" width="11.1640625" customWidth="1"/>
    <col min="2" max="3" width="15.33203125" bestFit="1" customWidth="1"/>
    <col min="4" max="4" width="14.6640625" bestFit="1" customWidth="1"/>
    <col min="5" max="5" width="18.5" bestFit="1" customWidth="1"/>
    <col min="6" max="6" width="11" customWidth="1"/>
    <col min="7" max="7" width="16.83203125" bestFit="1" customWidth="1"/>
    <col min="8" max="8" width="12" bestFit="1" customWidth="1"/>
    <col min="9" max="9" width="19.6640625" bestFit="1" customWidth="1"/>
    <col min="10" max="10" width="12" bestFit="1" customWidth="1"/>
    <col min="11" max="11" width="17.33203125" bestFit="1" customWidth="1"/>
    <col min="12" max="12" width="16.33203125" bestFit="1" customWidth="1"/>
    <col min="13" max="13" width="20.83203125" bestFit="1" customWidth="1"/>
    <col min="14" max="14" width="14.83203125" customWidth="1"/>
    <col min="15" max="15" width="13.6640625" bestFit="1" customWidth="1"/>
    <col min="16" max="16" width="14.6640625" bestFit="1" customWidth="1"/>
    <col min="17" max="17" width="19.83203125" bestFit="1" customWidth="1"/>
    <col min="18" max="18" width="13" bestFit="1" customWidth="1"/>
  </cols>
  <sheetData>
    <row r="1" spans="1:22" s="42" customFormat="1" ht="35" thickBot="1">
      <c r="A1" s="41"/>
      <c r="B1" s="41"/>
      <c r="C1" s="41"/>
      <c r="D1" s="41"/>
      <c r="H1" s="100" t="s">
        <v>26</v>
      </c>
      <c r="I1" s="101"/>
      <c r="J1" s="102"/>
      <c r="K1" s="100" t="s">
        <v>29</v>
      </c>
      <c r="L1" s="101"/>
      <c r="M1" s="102"/>
      <c r="N1" s="55" t="s">
        <v>30</v>
      </c>
      <c r="O1" s="60" t="s">
        <v>38</v>
      </c>
    </row>
    <row r="2" spans="1:22" ht="18">
      <c r="B2" s="94" t="s">
        <v>14</v>
      </c>
      <c r="C2" s="95"/>
      <c r="D2" s="95"/>
      <c r="E2" s="96"/>
      <c r="G2" s="45"/>
      <c r="H2" s="46" t="s">
        <v>19</v>
      </c>
      <c r="I2" s="47" t="s">
        <v>20</v>
      </c>
      <c r="J2" s="47" t="s">
        <v>7</v>
      </c>
      <c r="K2" s="47" t="s">
        <v>21</v>
      </c>
      <c r="L2" s="47" t="s">
        <v>22</v>
      </c>
      <c r="M2" s="48" t="s">
        <v>23</v>
      </c>
      <c r="N2" s="52" t="s">
        <v>31</v>
      </c>
      <c r="O2" s="52" t="s">
        <v>37</v>
      </c>
      <c r="T2" s="7" t="s">
        <v>49</v>
      </c>
      <c r="U2" s="7" t="s">
        <v>0</v>
      </c>
    </row>
    <row r="3" spans="1:22">
      <c r="B3" s="20" t="s">
        <v>8</v>
      </c>
      <c r="C3" s="21" t="s">
        <v>10</v>
      </c>
      <c r="D3" s="21" t="s">
        <v>12</v>
      </c>
      <c r="E3" s="22" t="s">
        <v>13</v>
      </c>
      <c r="G3" s="19" t="s">
        <v>0</v>
      </c>
      <c r="H3" s="49">
        <v>2.5000000000000001E-2</v>
      </c>
      <c r="I3" s="49">
        <v>5.49</v>
      </c>
      <c r="J3" s="49">
        <v>0.40799999999999997</v>
      </c>
      <c r="K3" s="113">
        <f>40/((10^((0.435*$E$7)+(0.42*$C$7)-(1.8*1000/$B$7)+4.8))*95.95*1000)</f>
        <v>0.2002525267033072</v>
      </c>
      <c r="L3" s="112">
        <f>12/((10^(0.435*$E$7+0.42*$C$7-1.8*1000/$B$7+4.8))*95.95*1000)</f>
        <v>6.0075758010992165E-2</v>
      </c>
      <c r="M3" s="108">
        <f>87670/((10^(0.435*$E$7+0.42*$C$7-1.8*1000/$B$7+4.8))*95.95*1000)</f>
        <v>438.90347540197359</v>
      </c>
      <c r="N3" s="115">
        <f>(C11*K3)+(C10*L3)+(C12*M3)</f>
        <v>8.9336657212879427</v>
      </c>
      <c r="O3" s="62">
        <f>J3/N3</f>
        <v>4.566994252177814E-2</v>
      </c>
      <c r="T3" s="40">
        <f>0.435*$E$7+0.42*$C$7-1.8*1000/$B$7+4.8</f>
        <v>-2.6815629922819797</v>
      </c>
      <c r="U3" s="104">
        <f>10^T3</f>
        <v>2.0817904298414888E-3</v>
      </c>
      <c r="V3">
        <f>U3*95.95*1000</f>
        <v>199.74779174329086</v>
      </c>
    </row>
    <row r="4" spans="1:22" ht="17" thickBot="1">
      <c r="B4" s="23">
        <v>1000</v>
      </c>
      <c r="C4" s="24">
        <f>C17</f>
        <v>1.7111738536961004E-4</v>
      </c>
      <c r="D4" s="103">
        <v>-1.59</v>
      </c>
      <c r="E4" s="26">
        <f>C12</f>
        <v>0.02</v>
      </c>
      <c r="G4" s="19" t="s">
        <v>1</v>
      </c>
      <c r="H4" s="49">
        <v>0.77200000000000002</v>
      </c>
      <c r="I4" s="49">
        <v>57.3</v>
      </c>
      <c r="J4" s="49">
        <v>12</v>
      </c>
      <c r="K4" s="49">
        <v>2</v>
      </c>
      <c r="L4" s="49">
        <v>0.4</v>
      </c>
      <c r="M4" s="11">
        <v>2</v>
      </c>
      <c r="N4" s="53">
        <f t="shared" ref="N4:N9" si="0">(K4*$C$11)+(L4*$C$10)+(M4*$C$12)</f>
        <v>1.536</v>
      </c>
      <c r="O4" s="62">
        <f t="shared" ref="O4:O9" si="1">J4/N4</f>
        <v>7.8125</v>
      </c>
    </row>
    <row r="5" spans="1:22">
      <c r="B5" s="97" t="s">
        <v>53</v>
      </c>
      <c r="C5" s="98"/>
      <c r="D5" s="98"/>
      <c r="E5" s="99"/>
      <c r="G5" s="19" t="s">
        <v>2</v>
      </c>
      <c r="H5" s="49">
        <v>2.3999999999999998E-3</v>
      </c>
      <c r="I5" s="49">
        <v>1.69</v>
      </c>
      <c r="J5" s="49">
        <v>3.7999999999999999E-2</v>
      </c>
      <c r="K5" s="107">
        <f>60/((10^((0.07*$E$7)-(4.7236*1000/$B$7)+4.4271))*183.84*1000)</f>
        <v>3.3008106170221877E-4</v>
      </c>
      <c r="L5" s="112">
        <f>12/((10^((0.07*$E$7)-(4.7236*1000/$B$7)+4.4271))*183.84*1000)</f>
        <v>6.6016212340443757E-5</v>
      </c>
      <c r="M5" s="11">
        <v>1.25</v>
      </c>
      <c r="N5" s="109">
        <f>(K5*$C$11)+(L5*$C$10)+(M5*$C$12)</f>
        <v>2.524690063415326E-2</v>
      </c>
      <c r="O5" s="62">
        <f>J5/N5</f>
        <v>1.5051352461297653</v>
      </c>
    </row>
    <row r="6" spans="1:22" ht="18">
      <c r="B6" s="20" t="s">
        <v>9</v>
      </c>
      <c r="C6" s="21" t="s">
        <v>11</v>
      </c>
      <c r="D6" s="21" t="s">
        <v>35</v>
      </c>
      <c r="E6" s="22" t="s">
        <v>36</v>
      </c>
      <c r="G6" s="19" t="s">
        <v>3</v>
      </c>
      <c r="H6" s="49">
        <v>4.7000000000000002E-3</v>
      </c>
      <c r="I6" s="49">
        <v>1.68</v>
      </c>
      <c r="J6" s="49">
        <v>7.1099999999999997E-2</v>
      </c>
      <c r="K6" s="113">
        <f>11/10^(2.681+0.1433*$E$7+0.594*$C$4)</f>
        <v>0.6886587481048777</v>
      </c>
      <c r="L6" s="113">
        <f>40/10^(2.681+0.1433*$E$7+0.594*$C$4)</f>
        <v>2.5042136294722823</v>
      </c>
      <c r="M6" s="114">
        <f>94/10^(1.7954+0.1433*$E$7+0.594*$C$4)</f>
        <v>45.220903710152207</v>
      </c>
      <c r="N6" s="53">
        <f t="shared" si="0"/>
        <v>2.1058145629423719</v>
      </c>
      <c r="O6" s="62">
        <f t="shared" si="1"/>
        <v>3.3763656710899918E-2</v>
      </c>
    </row>
    <row r="7" spans="1:22" ht="18" thickBot="1">
      <c r="B7" s="23">
        <f>B4+273.15</f>
        <v>1273.1500000000001</v>
      </c>
      <c r="C7" s="25">
        <f>LOG10(C4)</f>
        <v>-3.7667058642957252</v>
      </c>
      <c r="D7" s="24">
        <f>(-25096.3/B7)+8.735+0.11*((E10-1)/B7)</f>
        <v>-8.72202391705612</v>
      </c>
      <c r="E7" s="32">
        <f>D7+D4</f>
        <v>-10.31202391705612</v>
      </c>
      <c r="G7" s="19" t="s">
        <v>4</v>
      </c>
      <c r="H7" s="49">
        <v>1.37E-2</v>
      </c>
      <c r="I7" s="49">
        <v>6.91</v>
      </c>
      <c r="J7" s="49">
        <v>0.18709999999999999</v>
      </c>
      <c r="K7" s="49">
        <v>1.19</v>
      </c>
      <c r="L7" s="49">
        <v>0.61</v>
      </c>
      <c r="M7" s="11">
        <v>0.1</v>
      </c>
      <c r="N7" s="53">
        <f t="shared" si="0"/>
        <v>0.99999999999999989</v>
      </c>
      <c r="O7" s="62">
        <f>J7/N7</f>
        <v>0.18710000000000002</v>
      </c>
    </row>
    <row r="8" spans="1:22" ht="17" thickBot="1">
      <c r="G8" s="19" t="s">
        <v>5</v>
      </c>
      <c r="H8" s="49">
        <v>0.21</v>
      </c>
      <c r="I8" s="49">
        <v>8.94</v>
      </c>
      <c r="J8" s="49">
        <v>3.5070000000000001</v>
      </c>
      <c r="K8" s="49">
        <v>0.17199999999999999</v>
      </c>
      <c r="L8" s="49">
        <v>0.20399999999999999</v>
      </c>
      <c r="M8" s="11">
        <v>200</v>
      </c>
      <c r="N8" s="53">
        <f t="shared" si="0"/>
        <v>4.1778399999999998</v>
      </c>
      <c r="O8" s="62">
        <f>J8/N8</f>
        <v>0.83942898722784987</v>
      </c>
    </row>
    <row r="9" spans="1:22" ht="17" thickBot="1">
      <c r="B9" s="33" t="s">
        <v>15</v>
      </c>
      <c r="C9" s="39" t="s">
        <v>25</v>
      </c>
      <c r="E9" s="105" t="s">
        <v>50</v>
      </c>
      <c r="G9" s="50" t="s">
        <v>6</v>
      </c>
      <c r="H9" s="51">
        <v>0.23400000000000001</v>
      </c>
      <c r="I9" s="51">
        <v>29.8</v>
      </c>
      <c r="J9" s="51">
        <v>3.895</v>
      </c>
      <c r="K9" s="51">
        <v>1.429</v>
      </c>
      <c r="L9" s="51">
        <v>0.20399999999999999</v>
      </c>
      <c r="M9" s="12">
        <v>1.25</v>
      </c>
      <c r="N9" s="54">
        <f t="shared" si="0"/>
        <v>1.0701699999999998</v>
      </c>
      <c r="O9" s="63">
        <f t="shared" si="1"/>
        <v>3.6396086603063069</v>
      </c>
    </row>
    <row r="10" spans="1:22" ht="17" thickBot="1">
      <c r="B10" s="34" t="s">
        <v>16</v>
      </c>
      <c r="C10" s="35">
        <v>0.28999999999999998</v>
      </c>
      <c r="E10" s="106">
        <v>26100</v>
      </c>
    </row>
    <row r="11" spans="1:22" ht="19" thickBot="1">
      <c r="B11" s="36" t="s">
        <v>17</v>
      </c>
      <c r="C11" s="35">
        <v>0.69</v>
      </c>
      <c r="G11" s="86" t="s">
        <v>27</v>
      </c>
      <c r="H11" s="87"/>
      <c r="I11" s="87" t="s">
        <v>32</v>
      </c>
      <c r="J11" s="87"/>
      <c r="K11" s="87"/>
      <c r="L11" s="87"/>
      <c r="M11" s="87"/>
      <c r="N11" s="88"/>
    </row>
    <row r="12" spans="1:22">
      <c r="B12" s="36" t="s">
        <v>18</v>
      </c>
      <c r="C12" s="35">
        <v>0.02</v>
      </c>
      <c r="G12" s="17" t="s">
        <v>0</v>
      </c>
      <c r="H12" s="56" t="s">
        <v>1</v>
      </c>
      <c r="I12" s="56" t="s">
        <v>2</v>
      </c>
      <c r="J12" s="56" t="s">
        <v>3</v>
      </c>
      <c r="K12" s="56" t="s">
        <v>4</v>
      </c>
      <c r="L12" s="56" t="s">
        <v>5</v>
      </c>
      <c r="M12" s="56" t="s">
        <v>6</v>
      </c>
      <c r="N12" s="18" t="s">
        <v>28</v>
      </c>
    </row>
    <row r="13" spans="1:22" ht="17" thickBot="1">
      <c r="B13" s="37"/>
      <c r="C13" s="38">
        <f>SUM(C10:C12)</f>
        <v>1</v>
      </c>
      <c r="G13" s="58">
        <f>$J$3/(N13+(1-N13)*$N$3)</f>
        <v>4.566994252177814E-2</v>
      </c>
      <c r="H13" s="59">
        <f>$J$4/(N13+(1-N13)*$N$4)</f>
        <v>7.8125</v>
      </c>
      <c r="I13" s="59">
        <f>$J$5/(N13+(1-N13)*$N$5)</f>
        <v>1.5051352461297653</v>
      </c>
      <c r="J13" s="59">
        <f>$J$6/(N13+(1-N13)*$N$6)</f>
        <v>3.3763656710899918E-2</v>
      </c>
      <c r="K13" s="59">
        <f>$J$7/(N13+(1-N13)*$N$7)</f>
        <v>0.18710000000000002</v>
      </c>
      <c r="L13" s="59">
        <f>$J$8/(N13+(1-N13)*$N$8)</f>
        <v>0.83942898722784987</v>
      </c>
      <c r="M13" s="59">
        <f>$J$9/(N13+(1-N13)*$N$9)</f>
        <v>3.6396086603063069</v>
      </c>
      <c r="N13" s="61">
        <v>0</v>
      </c>
    </row>
    <row r="14" spans="1:22" ht="17" thickBot="1"/>
    <row r="15" spans="1:22">
      <c r="B15" s="89" t="s">
        <v>33</v>
      </c>
      <c r="C15" s="90"/>
      <c r="G15" s="15" t="s">
        <v>39</v>
      </c>
      <c r="H15" s="43" t="s">
        <v>40</v>
      </c>
      <c r="I15" s="16" t="s">
        <v>41</v>
      </c>
    </row>
    <row r="16" spans="1:22">
      <c r="B16" s="17" t="s">
        <v>24</v>
      </c>
      <c r="C16" s="18" t="s">
        <v>34</v>
      </c>
      <c r="G16" s="17" t="s">
        <v>42</v>
      </c>
      <c r="H16" s="57">
        <f>H3/H4</f>
        <v>3.2383419689119175E-2</v>
      </c>
      <c r="I16" s="29">
        <f>O3/O4</f>
        <v>5.8457526427876019E-3</v>
      </c>
    </row>
    <row r="17" spans="2:18">
      <c r="B17" s="13">
        <v>1E-3</v>
      </c>
      <c r="C17" s="110">
        <f>1000*B17/(58.44*(100-B17))</f>
        <v>1.7111738536961004E-4</v>
      </c>
      <c r="G17" s="17" t="s">
        <v>43</v>
      </c>
      <c r="H17" s="57">
        <f>H6/H7</f>
        <v>0.34306569343065696</v>
      </c>
      <c r="I17" s="30">
        <f>O6/O7</f>
        <v>0.18045781245804338</v>
      </c>
    </row>
    <row r="18" spans="2:18">
      <c r="B18" s="13">
        <v>1</v>
      </c>
      <c r="C18" s="110">
        <f t="shared" ref="C18:C20" si="2">1000*B18/(58.44*(100-B18))</f>
        <v>0.17284411534924884</v>
      </c>
      <c r="G18" s="17" t="s">
        <v>44</v>
      </c>
      <c r="H18" s="57">
        <f>H5/H7</f>
        <v>0.1751824817518248</v>
      </c>
      <c r="I18" s="30">
        <f>O5/O7</f>
        <v>8.0445496853541698</v>
      </c>
    </row>
    <row r="19" spans="2:18">
      <c r="B19" s="13">
        <v>2</v>
      </c>
      <c r="C19" s="110">
        <f t="shared" si="2"/>
        <v>0.34921566162399253</v>
      </c>
      <c r="G19" s="17" t="s">
        <v>45</v>
      </c>
      <c r="H19" s="57">
        <f>H3/H5</f>
        <v>10.416666666666668</v>
      </c>
      <c r="I19" s="30">
        <f>O3/O5</f>
        <v>3.0342750021442724E-2</v>
      </c>
    </row>
    <row r="20" spans="2:18" ht="17" thickBot="1">
      <c r="B20" s="13">
        <v>5</v>
      </c>
      <c r="C20" s="110">
        <f t="shared" si="2"/>
        <v>0.90060881155661221</v>
      </c>
      <c r="G20" s="44" t="s">
        <v>46</v>
      </c>
      <c r="H20" s="59">
        <f>H8/H9</f>
        <v>0.89743589743589736</v>
      </c>
      <c r="I20" s="31">
        <f>O8/O9</f>
        <v>0.23063715513777355</v>
      </c>
    </row>
    <row r="21" spans="2:18" ht="17" thickBot="1">
      <c r="B21" s="13">
        <v>10</v>
      </c>
      <c r="C21" s="110">
        <f>1000*B21/(58.44*(100-B21))</f>
        <v>1.9012852688417372</v>
      </c>
    </row>
    <row r="22" spans="2:18" ht="17" thickBot="1">
      <c r="B22" s="13">
        <v>15</v>
      </c>
      <c r="C22" s="110">
        <f t="shared" ref="C22:C23" si="3">1000*B22/(58.44*(100-B22))</f>
        <v>3.0196883681604061</v>
      </c>
      <c r="G22" s="56" t="s">
        <v>47</v>
      </c>
      <c r="N22" s="91" t="str">
        <f>_xlfn.LET(_xlpm.T,$B$4, _xlpm.m,$C$4, _xlpm.d,$D$4, _xlpm.rt,$E$4,
"T"&amp;TEXT(_xlpm.T,"0")&amp;"C_" &amp;
"NaCl"&amp;TEXT(_xlpm.m,"0.00")&amp;"m_" &amp;
"ΔFMQ"&amp;TEXT(_xlpm.d,"+0.00;-0.00;0")&amp;"_" &amp;
"Rt"&amp;TEXT(_xlpm.rt,"0.00")
)</f>
        <v>T1000C_NaCl0.00m_ΔFMQ-1.59_Rt0.02</v>
      </c>
      <c r="O22" s="92"/>
      <c r="P22" s="92"/>
      <c r="Q22" s="92"/>
      <c r="R22" s="93"/>
    </row>
    <row r="23" spans="2:18" ht="17" thickBot="1">
      <c r="B23" s="14">
        <v>20</v>
      </c>
      <c r="C23" s="111">
        <f t="shared" si="3"/>
        <v>4.2778918548939089</v>
      </c>
      <c r="F23" s="64" t="s">
        <v>28</v>
      </c>
      <c r="G23" s="15" t="s">
        <v>0</v>
      </c>
      <c r="H23" s="67" t="s">
        <v>1</v>
      </c>
      <c r="I23" s="67" t="s">
        <v>2</v>
      </c>
      <c r="J23" s="67" t="s">
        <v>3</v>
      </c>
      <c r="K23" s="67" t="s">
        <v>4</v>
      </c>
      <c r="L23" s="67" t="s">
        <v>5</v>
      </c>
      <c r="M23" s="68" t="s">
        <v>6</v>
      </c>
      <c r="N23" s="71" t="s">
        <v>42</v>
      </c>
      <c r="O23" s="67" t="s">
        <v>43</v>
      </c>
      <c r="P23" s="67" t="s">
        <v>44</v>
      </c>
      <c r="Q23" s="67" t="s">
        <v>45</v>
      </c>
      <c r="R23" s="68" t="s">
        <v>46</v>
      </c>
    </row>
    <row r="24" spans="2:18">
      <c r="F24" s="65">
        <v>0</v>
      </c>
      <c r="G24" s="69">
        <f>($O$3*F24)+($H$3*(1-F24))</f>
        <v>2.5000000000000001E-2</v>
      </c>
      <c r="H24" s="70">
        <f>($O$4*F24)+($H$4*(1-F24))</f>
        <v>0.77200000000000002</v>
      </c>
      <c r="I24" s="70">
        <f>($O$5*F24)+($H$5*(1-F24))</f>
        <v>2.3999999999999998E-3</v>
      </c>
      <c r="J24" s="70">
        <f>($O$6*F24)+($H$6*(1-F24))</f>
        <v>4.7000000000000002E-3</v>
      </c>
      <c r="K24" s="70">
        <f>($O$7*F24)+($H$7*(1-F24))</f>
        <v>1.37E-2</v>
      </c>
      <c r="L24" s="70">
        <f>($O$8*F24)+($H$8*(1-F24))</f>
        <v>0.21</v>
      </c>
      <c r="M24" s="29">
        <f>($O$9*F24)+($H$9*(1-F24))</f>
        <v>0.23400000000000001</v>
      </c>
      <c r="N24" s="72">
        <f>G24/H24</f>
        <v>3.2383419689119175E-2</v>
      </c>
      <c r="O24" s="73">
        <f>J24/K24</f>
        <v>0.34306569343065696</v>
      </c>
      <c r="P24" s="73">
        <f>I24/K24</f>
        <v>0.1751824817518248</v>
      </c>
      <c r="Q24" s="73">
        <f>G24/I24</f>
        <v>10.416666666666668</v>
      </c>
      <c r="R24" s="27">
        <f>L24/M24</f>
        <v>0.89743589743589736</v>
      </c>
    </row>
    <row r="25" spans="2:18">
      <c r="F25" s="65">
        <v>1E-3</v>
      </c>
      <c r="G25" s="69">
        <f t="shared" ref="G25:G34" si="4">($O$3*F25)+($H$3*(1-F25))</f>
        <v>2.5020669942521778E-2</v>
      </c>
      <c r="H25" s="70">
        <f t="shared" ref="H25:H34" si="5">($O$4*F25)+($H$4*(1-F25))</f>
        <v>0.77904050000000002</v>
      </c>
      <c r="I25" s="70">
        <f t="shared" ref="I25:I34" si="6">($O$5*F25)+($H$5*(1-F25))</f>
        <v>3.9027352461297651E-3</v>
      </c>
      <c r="J25" s="70">
        <f t="shared" ref="J25:J34" si="7">($O$6*F25)+($H$6*(1-F25))</f>
        <v>4.7290636567109004E-3</v>
      </c>
      <c r="K25" s="70">
        <f t="shared" ref="K25:K34" si="8">($O$7*F25)+($H$7*(1-F25))</f>
        <v>1.3873400000000001E-2</v>
      </c>
      <c r="L25" s="70">
        <f t="shared" ref="L25:L34" si="9">($O$8*F25)+($H$8*(1-F25))</f>
        <v>0.21062942898722786</v>
      </c>
      <c r="M25" s="29">
        <f t="shared" ref="M25:M34" si="10">($O$9*F25)+($H$9*(1-F25))</f>
        <v>0.2374056086603063</v>
      </c>
      <c r="N25" s="72">
        <f t="shared" ref="N25:N34" si="11">G25/H25</f>
        <v>3.2117290362339027E-2</v>
      </c>
      <c r="O25" s="73">
        <f t="shared" ref="O25:O34" si="12">J25/K25</f>
        <v>0.34087272454559808</v>
      </c>
      <c r="P25" s="73">
        <f t="shared" ref="P25:P34" si="13">I25/K25</f>
        <v>0.28131065536420524</v>
      </c>
      <c r="Q25" s="73">
        <f t="shared" ref="Q25:Q34" si="14">G25/I25</f>
        <v>6.4110600295867073</v>
      </c>
      <c r="R25" s="27">
        <f t="shared" ref="R25:R34" si="15">L25/M25</f>
        <v>0.88721336524365202</v>
      </c>
    </row>
    <row r="26" spans="2:18">
      <c r="F26" s="65">
        <v>5.0000000000000001E-3</v>
      </c>
      <c r="G26" s="69">
        <f t="shared" si="4"/>
        <v>2.5103349712608893E-2</v>
      </c>
      <c r="H26" s="70">
        <f t="shared" si="5"/>
        <v>0.80720250000000004</v>
      </c>
      <c r="I26" s="70">
        <f t="shared" si="6"/>
        <v>9.9136762306488262E-3</v>
      </c>
      <c r="J26" s="70">
        <f t="shared" si="7"/>
        <v>4.8453182835544997E-3</v>
      </c>
      <c r="K26" s="70">
        <f t="shared" si="8"/>
        <v>1.4567E-2</v>
      </c>
      <c r="L26" s="70">
        <f t="shared" si="9"/>
        <v>0.21314714493613923</v>
      </c>
      <c r="M26" s="29">
        <f t="shared" si="10"/>
        <v>0.25102804330153156</v>
      </c>
      <c r="N26" s="72">
        <f t="shared" si="11"/>
        <v>3.1099197181139664E-2</v>
      </c>
      <c r="O26" s="73">
        <f t="shared" si="12"/>
        <v>0.33262293427298001</v>
      </c>
      <c r="P26" s="73">
        <f t="shared" si="13"/>
        <v>0.68055716555562751</v>
      </c>
      <c r="Q26" s="73">
        <f t="shared" si="14"/>
        <v>2.5321938228121796</v>
      </c>
      <c r="R26" s="27">
        <f t="shared" si="15"/>
        <v>0.84909694603367369</v>
      </c>
    </row>
    <row r="27" spans="2:18">
      <c r="F27" s="79">
        <v>0.01</v>
      </c>
      <c r="G27" s="80">
        <f t="shared" si="4"/>
        <v>2.5206699425217784E-2</v>
      </c>
      <c r="H27" s="81">
        <f t="shared" si="5"/>
        <v>0.84240499999999996</v>
      </c>
      <c r="I27" s="81">
        <f t="shared" si="6"/>
        <v>1.7427352461297653E-2</v>
      </c>
      <c r="J27" s="81">
        <f t="shared" si="7"/>
        <v>4.9906365671089992E-3</v>
      </c>
      <c r="K27" s="81">
        <f t="shared" si="8"/>
        <v>1.5434E-2</v>
      </c>
      <c r="L27" s="81">
        <f t="shared" si="9"/>
        <v>0.2162942898722785</v>
      </c>
      <c r="M27" s="82">
        <f t="shared" si="10"/>
        <v>0.26805608660306307</v>
      </c>
      <c r="N27" s="83">
        <f>G27/H27</f>
        <v>2.9922305096975663E-2</v>
      </c>
      <c r="O27" s="84">
        <f t="shared" si="12"/>
        <v>0.32335341240825444</v>
      </c>
      <c r="P27" s="84">
        <f t="shared" si="13"/>
        <v>1.1291533278021026</v>
      </c>
      <c r="Q27" s="84">
        <f t="shared" si="14"/>
        <v>1.4463871939926827</v>
      </c>
      <c r="R27" s="85">
        <f t="shared" si="15"/>
        <v>0.80689937920554167</v>
      </c>
    </row>
    <row r="28" spans="2:18">
      <c r="F28" s="65">
        <v>0.05</v>
      </c>
      <c r="G28" s="69">
        <f t="shared" si="4"/>
        <v>2.6033497126088906E-2</v>
      </c>
      <c r="H28" s="70">
        <f t="shared" si="5"/>
        <v>1.1240250000000001</v>
      </c>
      <c r="I28" s="70">
        <f t="shared" si="6"/>
        <v>7.7536762306488274E-2</v>
      </c>
      <c r="J28" s="70">
        <f t="shared" si="7"/>
        <v>6.1531828355449961E-3</v>
      </c>
      <c r="K28" s="70">
        <f t="shared" si="8"/>
        <v>2.2370000000000001E-2</v>
      </c>
      <c r="L28" s="70">
        <f t="shared" si="9"/>
        <v>0.24147144936139248</v>
      </c>
      <c r="M28" s="29">
        <f t="shared" si="10"/>
        <v>0.40428043301531535</v>
      </c>
      <c r="N28" s="72">
        <f t="shared" si="11"/>
        <v>2.3160959165578084E-2</v>
      </c>
      <c r="O28" s="73">
        <f t="shared" si="12"/>
        <v>0.27506405165601233</v>
      </c>
      <c r="P28" s="73">
        <f t="shared" si="13"/>
        <v>3.4661047074871822</v>
      </c>
      <c r="Q28" s="73">
        <f t="shared" si="14"/>
        <v>0.33575682491336661</v>
      </c>
      <c r="R28" s="27">
        <f t="shared" si="15"/>
        <v>0.597287005854782</v>
      </c>
    </row>
    <row r="29" spans="2:18">
      <c r="F29" s="65">
        <v>0.1</v>
      </c>
      <c r="G29" s="69">
        <f t="shared" si="4"/>
        <v>2.7066994252177817E-2</v>
      </c>
      <c r="H29" s="70">
        <f t="shared" si="5"/>
        <v>1.4760500000000001</v>
      </c>
      <c r="I29" s="70">
        <f t="shared" si="6"/>
        <v>0.15267352461297654</v>
      </c>
      <c r="J29" s="70">
        <f t="shared" si="7"/>
        <v>7.6063656710899921E-3</v>
      </c>
      <c r="K29" s="70">
        <f t="shared" si="8"/>
        <v>3.1040000000000002E-2</v>
      </c>
      <c r="L29" s="70">
        <f t="shared" si="9"/>
        <v>0.27294289872278499</v>
      </c>
      <c r="M29" s="29">
        <f t="shared" si="10"/>
        <v>0.57456086603063072</v>
      </c>
      <c r="N29" s="72">
        <f t="shared" si="11"/>
        <v>1.8337450799212639E-2</v>
      </c>
      <c r="O29" s="73">
        <f t="shared" si="12"/>
        <v>0.24505044043460025</v>
      </c>
      <c r="P29" s="73">
        <f t="shared" si="13"/>
        <v>4.918605818717027</v>
      </c>
      <c r="Q29" s="73">
        <f t="shared" si="14"/>
        <v>0.1772867582692674</v>
      </c>
      <c r="R29" s="27">
        <f t="shared" si="15"/>
        <v>0.47504610017806881</v>
      </c>
    </row>
    <row r="30" spans="2:18">
      <c r="F30" s="65">
        <v>0.25</v>
      </c>
      <c r="G30" s="69">
        <f t="shared" si="4"/>
        <v>3.0167485630444538E-2</v>
      </c>
      <c r="H30" s="70">
        <f t="shared" si="5"/>
        <v>2.5321249999999997</v>
      </c>
      <c r="I30" s="70">
        <f t="shared" si="6"/>
        <v>0.37808381153244136</v>
      </c>
      <c r="J30" s="70">
        <f t="shared" si="7"/>
        <v>1.196591417772498E-2</v>
      </c>
      <c r="K30" s="70">
        <f t="shared" si="8"/>
        <v>5.7050000000000003E-2</v>
      </c>
      <c r="L30" s="70">
        <f t="shared" si="9"/>
        <v>0.36735724680696247</v>
      </c>
      <c r="M30" s="29">
        <f t="shared" si="10"/>
        <v>1.0854021650765768</v>
      </c>
      <c r="N30" s="72">
        <f t="shared" si="11"/>
        <v>1.1913900629093959E-2</v>
      </c>
      <c r="O30" s="73">
        <f t="shared" si="12"/>
        <v>0.2097443326507446</v>
      </c>
      <c r="P30" s="73">
        <f t="shared" si="13"/>
        <v>6.6272359602531346</v>
      </c>
      <c r="Q30" s="73">
        <f t="shared" si="14"/>
        <v>7.9790471610435579E-2</v>
      </c>
      <c r="R30" s="27">
        <f t="shared" si="15"/>
        <v>0.33845265711354539</v>
      </c>
    </row>
    <row r="31" spans="2:18">
      <c r="F31" s="65">
        <v>0.5</v>
      </c>
      <c r="G31" s="69">
        <f t="shared" si="4"/>
        <v>3.5334971260889067E-2</v>
      </c>
      <c r="H31" s="70">
        <f t="shared" si="5"/>
        <v>4.2922500000000001</v>
      </c>
      <c r="I31" s="70">
        <f t="shared" si="6"/>
        <v>0.75376762306488265</v>
      </c>
      <c r="J31" s="70">
        <f t="shared" si="7"/>
        <v>1.9231828355449961E-2</v>
      </c>
      <c r="K31" s="70">
        <f t="shared" si="8"/>
        <v>0.1004</v>
      </c>
      <c r="L31" s="70">
        <f t="shared" si="9"/>
        <v>0.52471449361392497</v>
      </c>
      <c r="M31" s="29">
        <f t="shared" si="10"/>
        <v>1.9368043301531535</v>
      </c>
      <c r="N31" s="72">
        <f t="shared" si="11"/>
        <v>8.2322724121123101E-3</v>
      </c>
      <c r="O31" s="73">
        <f t="shared" si="12"/>
        <v>0.19155207525348567</v>
      </c>
      <c r="P31" s="73">
        <f t="shared" si="13"/>
        <v>7.5076456480565996</v>
      </c>
      <c r="Q31" s="73">
        <f t="shared" si="14"/>
        <v>4.6877804484642224E-2</v>
      </c>
      <c r="R31" s="27">
        <f t="shared" si="15"/>
        <v>0.27091765825019248</v>
      </c>
    </row>
    <row r="32" spans="2:18">
      <c r="F32" s="65">
        <v>0.75</v>
      </c>
      <c r="G32" s="69">
        <f t="shared" si="4"/>
        <v>4.0502456891333603E-2</v>
      </c>
      <c r="H32" s="70">
        <f t="shared" si="5"/>
        <v>6.0523749999999996</v>
      </c>
      <c r="I32" s="70">
        <f t="shared" si="6"/>
        <v>1.1294514345973239</v>
      </c>
      <c r="J32" s="70">
        <f t="shared" si="7"/>
        <v>2.6497742533174936E-2</v>
      </c>
      <c r="K32" s="70">
        <f t="shared" si="8"/>
        <v>0.14375000000000002</v>
      </c>
      <c r="L32" s="70">
        <f t="shared" si="9"/>
        <v>0.68207174042088736</v>
      </c>
      <c r="M32" s="29">
        <f t="shared" si="10"/>
        <v>2.7882064952297303</v>
      </c>
      <c r="N32" s="72">
        <f t="shared" si="11"/>
        <v>6.6919939513552292E-3</v>
      </c>
      <c r="O32" s="73">
        <f t="shared" si="12"/>
        <v>0.18433212196991258</v>
      </c>
      <c r="P32" s="73">
        <f t="shared" si="13"/>
        <v>7.8570534580683393</v>
      </c>
      <c r="Q32" s="73">
        <f t="shared" si="14"/>
        <v>3.5860290801944653E-2</v>
      </c>
      <c r="R32" s="27">
        <f t="shared" si="15"/>
        <v>0.24462741249180292</v>
      </c>
    </row>
    <row r="33" spans="1:25">
      <c r="F33" s="65">
        <v>0.9</v>
      </c>
      <c r="G33" s="69">
        <f t="shared" si="4"/>
        <v>4.3602948269600331E-2</v>
      </c>
      <c r="H33" s="70">
        <f t="shared" si="5"/>
        <v>7.1084500000000004</v>
      </c>
      <c r="I33" s="70">
        <f t="shared" si="6"/>
        <v>1.3548617215167889</v>
      </c>
      <c r="J33" s="70">
        <f t="shared" si="7"/>
        <v>3.0857291039809928E-2</v>
      </c>
      <c r="K33" s="70">
        <f t="shared" si="8"/>
        <v>0.16976000000000002</v>
      </c>
      <c r="L33" s="70">
        <f t="shared" si="9"/>
        <v>0.77648608850506495</v>
      </c>
      <c r="M33" s="29">
        <f t="shared" si="10"/>
        <v>3.2990477942756762</v>
      </c>
      <c r="N33" s="72">
        <f t="shared" si="11"/>
        <v>6.1339600432724897E-3</v>
      </c>
      <c r="O33" s="73">
        <f t="shared" si="12"/>
        <v>0.18177009330708013</v>
      </c>
      <c r="P33" s="73">
        <f t="shared" si="13"/>
        <v>7.9810421861262295</v>
      </c>
      <c r="Q33" s="73">
        <f t="shared" si="14"/>
        <v>3.21825818658351E-2</v>
      </c>
      <c r="R33" s="27">
        <f t="shared" si="15"/>
        <v>0.23536672910661685</v>
      </c>
    </row>
    <row r="34" spans="1:25" ht="17" thickBot="1">
      <c r="F34" s="66">
        <v>1</v>
      </c>
      <c r="G34" s="69">
        <f t="shared" si="4"/>
        <v>4.566994252177814E-2</v>
      </c>
      <c r="H34" s="70">
        <f t="shared" si="5"/>
        <v>7.8125</v>
      </c>
      <c r="I34" s="70">
        <f t="shared" si="6"/>
        <v>1.5051352461297653</v>
      </c>
      <c r="J34" s="70">
        <f t="shared" si="7"/>
        <v>3.3763656710899918E-2</v>
      </c>
      <c r="K34" s="70">
        <f t="shared" si="8"/>
        <v>0.18710000000000002</v>
      </c>
      <c r="L34" s="70">
        <f t="shared" si="9"/>
        <v>0.83942898722784987</v>
      </c>
      <c r="M34" s="29">
        <f t="shared" si="10"/>
        <v>3.6396086603063069</v>
      </c>
      <c r="N34" s="74">
        <f t="shared" si="11"/>
        <v>5.8457526427876019E-3</v>
      </c>
      <c r="O34" s="75">
        <f t="shared" si="12"/>
        <v>0.18045781245804338</v>
      </c>
      <c r="P34" s="75">
        <f t="shared" si="13"/>
        <v>8.0445496853541698</v>
      </c>
      <c r="Q34" s="75">
        <f t="shared" si="14"/>
        <v>3.0342750021442724E-2</v>
      </c>
      <c r="R34" s="28">
        <f t="shared" si="15"/>
        <v>0.23063715513777355</v>
      </c>
    </row>
    <row r="36" spans="1:25" ht="17" thickBot="1"/>
    <row r="37" spans="1:25">
      <c r="A37" s="8" t="s">
        <v>48</v>
      </c>
      <c r="B37" s="9"/>
      <c r="C37" s="9"/>
      <c r="D37" s="9"/>
      <c r="E37" s="10"/>
      <c r="F37" s="8"/>
      <c r="G37" s="9"/>
      <c r="H37" s="9"/>
      <c r="I37" s="9"/>
      <c r="J37" s="10"/>
      <c r="K37" s="8"/>
      <c r="L37" s="9"/>
      <c r="M37" s="9"/>
      <c r="N37" s="9"/>
      <c r="O37" s="10"/>
      <c r="P37" s="8"/>
      <c r="Q37" s="9"/>
      <c r="R37" s="9"/>
      <c r="S37" s="9"/>
      <c r="T37" s="10"/>
      <c r="U37" s="8"/>
      <c r="V37" s="9"/>
      <c r="W37" s="9"/>
      <c r="X37" s="9"/>
      <c r="Y37" s="10"/>
    </row>
    <row r="38" spans="1:25">
      <c r="A38" s="1" t="s">
        <v>42</v>
      </c>
      <c r="B38" t="s">
        <v>43</v>
      </c>
      <c r="C38" t="s">
        <v>44</v>
      </c>
      <c r="D38" t="s">
        <v>45</v>
      </c>
      <c r="E38" s="2" t="s">
        <v>46</v>
      </c>
      <c r="F38" s="1"/>
      <c r="J38" s="2"/>
      <c r="K38" s="1"/>
      <c r="O38" s="2"/>
      <c r="P38" s="1"/>
      <c r="T38" s="2"/>
      <c r="U38" s="1"/>
      <c r="Y38" s="2"/>
    </row>
    <row r="39" spans="1:25">
      <c r="A39" s="76">
        <v>6.3689853891281941E-11</v>
      </c>
      <c r="B39" s="77">
        <v>0.15248073574811288</v>
      </c>
      <c r="C39">
        <v>6.6295479370895869E-3</v>
      </c>
      <c r="D39">
        <v>4.1185459515920531E-7</v>
      </c>
      <c r="E39" s="2">
        <v>5.2629889500262959</v>
      </c>
      <c r="F39" s="1"/>
      <c r="J39" s="2"/>
      <c r="K39" s="1"/>
      <c r="O39" s="2"/>
      <c r="P39" s="1"/>
      <c r="T39" s="2"/>
      <c r="U39" s="1"/>
      <c r="Y39" s="2"/>
    </row>
    <row r="40" spans="1:25">
      <c r="A40" s="76">
        <v>3.1695899391349909E-6</v>
      </c>
      <c r="B40" s="77">
        <v>0.15249492734541459</v>
      </c>
      <c r="C40">
        <v>6.6420989557523713E-3</v>
      </c>
      <c r="D40">
        <v>2.0458108853784913E-2</v>
      </c>
      <c r="E40" s="2">
        <v>5.2627102901413325</v>
      </c>
      <c r="F40" s="1"/>
      <c r="J40" s="2"/>
      <c r="K40" s="1"/>
      <c r="O40" s="2"/>
      <c r="P40" s="1"/>
      <c r="T40" s="2"/>
      <c r="U40" s="1"/>
      <c r="Y40" s="2"/>
    </row>
    <row r="41" spans="1:25">
      <c r="A41" s="76">
        <v>1.5905145878137292E-5</v>
      </c>
      <c r="B41" s="77">
        <v>0.15255195767256047</v>
      </c>
      <c r="C41">
        <v>6.6925364565590308E-3</v>
      </c>
      <c r="D41">
        <v>0.10189562051629113</v>
      </c>
      <c r="E41" s="2">
        <v>5.2615904082763354</v>
      </c>
      <c r="F41" s="1"/>
      <c r="J41" s="2"/>
      <c r="K41" s="1"/>
      <c r="O41" s="2"/>
      <c r="P41" s="1"/>
      <c r="T41" s="2"/>
      <c r="U41" s="1"/>
      <c r="Y41" s="2"/>
    </row>
    <row r="42" spans="1:25">
      <c r="A42" s="76">
        <v>3.1955032281537017E-5</v>
      </c>
      <c r="B42" s="77">
        <v>0.15262384499001425</v>
      </c>
      <c r="C42">
        <v>6.7561134481970179E-3</v>
      </c>
      <c r="D42">
        <v>0.20281610299614641</v>
      </c>
      <c r="E42" s="2">
        <v>5.2601786492395757</v>
      </c>
      <c r="F42" s="1"/>
      <c r="J42" s="2"/>
      <c r="K42" s="1"/>
      <c r="O42" s="2"/>
      <c r="P42" s="1"/>
      <c r="T42" s="2"/>
      <c r="U42" s="1"/>
      <c r="Y42" s="2"/>
    </row>
    <row r="43" spans="1:25">
      <c r="A43" s="76">
        <v>1.658133443442953E-4</v>
      </c>
      <c r="B43" s="77">
        <v>0.15322406007874159</v>
      </c>
      <c r="C43">
        <v>7.2869424042438938E-3</v>
      </c>
      <c r="D43">
        <v>0.97670632235905086</v>
      </c>
      <c r="E43" s="2">
        <v>5.2483853868262536</v>
      </c>
      <c r="F43" s="1"/>
      <c r="J43" s="2"/>
      <c r="K43" s="1"/>
      <c r="O43" s="2"/>
      <c r="P43" s="1"/>
      <c r="T43" s="2"/>
      <c r="U43" s="1"/>
      <c r="Y43" s="2"/>
    </row>
    <row r="44" spans="1:25">
      <c r="A44" s="76">
        <v>3.4807006977616745E-4</v>
      </c>
      <c r="B44" s="77">
        <v>0.15404320491030332</v>
      </c>
      <c r="C44">
        <v>8.0113923621933092E-3</v>
      </c>
      <c r="D44">
        <v>1.8673870925695604</v>
      </c>
      <c r="E44" s="2">
        <v>5.232273371222945</v>
      </c>
      <c r="F44" s="1"/>
      <c r="J44" s="2"/>
      <c r="K44" s="1"/>
      <c r="O44" s="2"/>
      <c r="P44" s="1"/>
      <c r="T44" s="2"/>
      <c r="U44" s="1"/>
      <c r="Y44" s="2"/>
    </row>
    <row r="45" spans="1:25">
      <c r="A45" s="76">
        <v>1.022235291994358E-3</v>
      </c>
      <c r="B45" s="77">
        <v>0.15709252572830629</v>
      </c>
      <c r="C45">
        <v>1.0708205249561184E-2</v>
      </c>
      <c r="D45">
        <v>4.1236679006442651</v>
      </c>
      <c r="E45" s="2">
        <v>5.1721208901189337</v>
      </c>
      <c r="F45" s="1"/>
      <c r="J45" s="2"/>
      <c r="K45" s="1"/>
      <c r="O45" s="2"/>
      <c r="P45" s="1"/>
      <c r="T45" s="2"/>
      <c r="U45" s="1"/>
      <c r="Y45" s="2"/>
    </row>
    <row r="46" spans="1:25">
      <c r="A46" s="76">
        <v>2.8845920856115227E-3</v>
      </c>
      <c r="B46" s="77">
        <v>0.16567743607810559</v>
      </c>
      <c r="C46">
        <v>1.8300681820589585E-2</v>
      </c>
      <c r="D46">
        <v>6.9044472303630613</v>
      </c>
      <c r="E46" s="2">
        <v>5.001279618639038</v>
      </c>
      <c r="F46" s="1"/>
      <c r="J46" s="2"/>
      <c r="K46" s="1"/>
      <c r="O46" s="2"/>
      <c r="P46" s="1"/>
      <c r="T46" s="2"/>
      <c r="U46" s="1"/>
      <c r="Y46" s="2"/>
    </row>
    <row r="47" spans="1:25">
      <c r="A47" s="76">
        <v>7.3452094263699638E-3</v>
      </c>
      <c r="B47" s="77">
        <v>0.18725506890953994</v>
      </c>
      <c r="C47">
        <v>3.7383894697093134E-2</v>
      </c>
      <c r="D47">
        <v>8.9064593548439692</v>
      </c>
      <c r="E47" s="2">
        <v>4.5619176182337213</v>
      </c>
      <c r="F47" s="1"/>
      <c r="J47" s="2"/>
      <c r="K47" s="1"/>
      <c r="O47" s="2"/>
      <c r="P47" s="1"/>
      <c r="T47" s="2"/>
      <c r="U47" s="1"/>
      <c r="Y47" s="2"/>
    </row>
    <row r="48" spans="1:25">
      <c r="A48" s="76">
        <v>1.5158929441135409E-2</v>
      </c>
      <c r="B48" s="77">
        <v>0.22891220253002798</v>
      </c>
      <c r="C48">
        <v>7.4225375637793897E-2</v>
      </c>
      <c r="D48">
        <v>9.8594028591526666</v>
      </c>
      <c r="E48" s="2">
        <v>3.6710720512166133</v>
      </c>
      <c r="F48" s="1"/>
      <c r="J48" s="2"/>
      <c r="K48" s="1"/>
      <c r="O48" s="2"/>
      <c r="P48" s="1"/>
      <c r="T48" s="2"/>
      <c r="U48" s="1"/>
      <c r="Y48" s="2"/>
    </row>
    <row r="49" spans="1:25" ht="17" thickBot="1">
      <c r="A49" s="78">
        <v>3.2383419689119175E-2</v>
      </c>
      <c r="B49" s="6">
        <v>0.34306569343065696</v>
      </c>
      <c r="C49" s="4">
        <v>0.1751824817518248</v>
      </c>
      <c r="D49" s="4">
        <v>10.416666666666668</v>
      </c>
      <c r="E49" s="5">
        <v>0.89743589743589736</v>
      </c>
      <c r="F49" s="3"/>
      <c r="G49" s="4"/>
      <c r="H49" s="4"/>
      <c r="I49" s="4"/>
      <c r="J49" s="5"/>
      <c r="K49" s="3"/>
      <c r="L49" s="4"/>
      <c r="M49" s="4"/>
      <c r="N49" s="4"/>
      <c r="O49" s="5"/>
      <c r="P49" s="3"/>
      <c r="Q49" s="4"/>
      <c r="R49" s="4"/>
      <c r="S49" s="4"/>
      <c r="T49" s="5"/>
      <c r="U49" s="3"/>
      <c r="V49" s="4"/>
      <c r="W49" s="4"/>
      <c r="X49" s="4"/>
      <c r="Y49" s="5"/>
    </row>
    <row r="54" spans="1:25">
      <c r="I54" s="7" t="s">
        <v>51</v>
      </c>
      <c r="J54" s="7" t="s">
        <v>52</v>
      </c>
      <c r="K54" s="7" t="s">
        <v>8</v>
      </c>
      <c r="L54" s="7" t="s">
        <v>12</v>
      </c>
      <c r="M54" s="7" t="s">
        <v>54</v>
      </c>
      <c r="N54" s="7" t="s">
        <v>55</v>
      </c>
      <c r="O54" s="7" t="s">
        <v>56</v>
      </c>
      <c r="P54" s="7" t="s">
        <v>0</v>
      </c>
      <c r="Q54" s="7" t="s">
        <v>1</v>
      </c>
      <c r="R54" s="7" t="s">
        <v>2</v>
      </c>
      <c r="S54" s="7" t="s">
        <v>3</v>
      </c>
      <c r="T54" s="7" t="s">
        <v>4</v>
      </c>
      <c r="U54" s="7" t="s">
        <v>5</v>
      </c>
      <c r="V54" s="7" t="s">
        <v>6</v>
      </c>
    </row>
    <row r="55" spans="1:25">
      <c r="I55" t="s">
        <v>7</v>
      </c>
      <c r="J55">
        <v>26100</v>
      </c>
      <c r="K55">
        <v>1273.1500000000001</v>
      </c>
      <c r="L55">
        <v>-1.59</v>
      </c>
      <c r="M55">
        <v>0.28499999999999998</v>
      </c>
      <c r="N55">
        <v>0.68500000000000005</v>
      </c>
      <c r="O55">
        <v>0.03</v>
      </c>
      <c r="P55" s="49">
        <v>0.40799999999999997</v>
      </c>
      <c r="Q55" s="49">
        <v>12</v>
      </c>
      <c r="R55" s="49">
        <v>3.7999999999999999E-2</v>
      </c>
      <c r="S55" s="49">
        <v>7.1099999999999997E-2</v>
      </c>
      <c r="T55" s="49">
        <v>0.18709999999999999</v>
      </c>
      <c r="U55" s="49">
        <v>3.5070000000000001</v>
      </c>
      <c r="V55">
        <v>3.895</v>
      </c>
    </row>
  </sheetData>
  <mergeCells count="8">
    <mergeCell ref="K1:M1"/>
    <mergeCell ref="H1:J1"/>
    <mergeCell ref="G11:H11"/>
    <mergeCell ref="I11:N11"/>
    <mergeCell ref="B15:C15"/>
    <mergeCell ref="N22:R22"/>
    <mergeCell ref="B2:E2"/>
    <mergeCell ref="B5:E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0BC5-EE07-6741-ACFC-A4E756707057}">
  <dimension ref="I13:I19"/>
  <sheetViews>
    <sheetView topLeftCell="G1" workbookViewId="0">
      <selection activeCell="I14" sqref="I14"/>
    </sheetView>
  </sheetViews>
  <sheetFormatPr baseColWidth="10" defaultRowHeight="16"/>
  <sheetData>
    <row r="13" spans="9:9">
      <c r="I13" t="s">
        <v>57</v>
      </c>
    </row>
    <row r="14" spans="9:9">
      <c r="I14" t="s">
        <v>58</v>
      </c>
    </row>
    <row r="15" spans="9:9">
      <c r="I15" t="s">
        <v>59</v>
      </c>
    </row>
    <row r="16" spans="9:9">
      <c r="I16" t="s">
        <v>60</v>
      </c>
    </row>
    <row r="17" spans="9:9">
      <c r="I17" t="s">
        <v>61</v>
      </c>
    </row>
    <row r="18" spans="9:9">
      <c r="I18" t="s">
        <v>62</v>
      </c>
    </row>
    <row r="19" spans="9:9">
      <c r="I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 SUÑER CASTILLO</dc:creator>
  <cp:lastModifiedBy>POL SUÑER CASTILLO</cp:lastModifiedBy>
  <dcterms:created xsi:type="dcterms:W3CDTF">2025-08-20T07:38:02Z</dcterms:created>
  <dcterms:modified xsi:type="dcterms:W3CDTF">2025-08-28T22:31:06Z</dcterms:modified>
</cp:coreProperties>
</file>